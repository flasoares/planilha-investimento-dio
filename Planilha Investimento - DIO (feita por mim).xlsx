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132" windowWidth="22932" windowHeight="9240"/>
  </bookViews>
  <sheets>
    <sheet name="Plan1" sheetId="1" r:id="rId1"/>
    <sheet name="Plan2" sheetId="2" r:id="rId2"/>
  </sheets>
  <definedNames>
    <definedName name="aporte">Plan1!$D$17</definedName>
    <definedName name="patrimonio">Plan1!$D$20</definedName>
    <definedName name="qtd_anos">Plan1!$D$18</definedName>
    <definedName name="rendimento_carteira">Plan1!$D$13</definedName>
    <definedName name="salario">Plan1!$D$12</definedName>
    <definedName name="sugestao_investimento">Plan1!$D$14</definedName>
    <definedName name="taxa_mensal">Plan1!$D$19</definedName>
  </definedNames>
  <calcPr calcId="124519"/>
</workbook>
</file>

<file path=xl/calcChain.xml><?xml version="1.0" encoding="utf-8"?>
<calcChain xmlns="http://schemas.openxmlformats.org/spreadsheetml/2006/main">
  <c r="A20" i="2"/>
  <c r="A19"/>
  <c r="A16"/>
  <c r="C37" i="1" s="1"/>
  <c r="D37" s="1"/>
  <c r="A17" i="2"/>
  <c r="A18"/>
  <c r="C36" i="1"/>
  <c r="H4" i="2"/>
  <c r="A9"/>
  <c r="A10"/>
  <c r="A11"/>
  <c r="A12"/>
  <c r="A13"/>
  <c r="A14"/>
  <c r="A15"/>
  <c r="A4"/>
  <c r="A5"/>
  <c r="A6"/>
  <c r="A7"/>
  <c r="A8"/>
  <c r="A3"/>
  <c r="C33" i="1"/>
  <c r="D20"/>
  <c r="D21" s="1"/>
  <c r="D14"/>
  <c r="C25"/>
  <c r="D25" s="1"/>
  <c r="C26"/>
  <c r="D26" s="1"/>
  <c r="C27"/>
  <c r="D27" s="1"/>
  <c r="C28"/>
  <c r="D28" s="1"/>
  <c r="C24"/>
  <c r="D24" s="1"/>
  <c r="C41" l="1"/>
  <c r="D41" s="1"/>
  <c r="C39"/>
  <c r="D39" s="1"/>
  <c r="C38"/>
  <c r="D38" s="1"/>
  <c r="C40"/>
  <c r="D40" s="1"/>
  <c r="D36"/>
  <c r="D42" l="1"/>
</calcChain>
</file>

<file path=xl/sharedStrings.xml><?xml version="1.0" encoding="utf-8"?>
<sst xmlns="http://schemas.openxmlformats.org/spreadsheetml/2006/main" count="71" uniqueCount="35">
  <si>
    <t>Por Quantos Anos?</t>
  </si>
  <si>
    <t>Taxa de Rendimento Mensal?</t>
  </si>
  <si>
    <t>Patrimônio Acumulado?</t>
  </si>
  <si>
    <t>Dividendos Mensais?</t>
  </si>
  <si>
    <t>Quntos Investir Por Mês?</t>
  </si>
  <si>
    <t>INVESTIMENTO MENSAL</t>
  </si>
  <si>
    <t>Quanto em 2 Anos?</t>
  </si>
  <si>
    <t>Quanto em 10 Anos?</t>
  </si>
  <si>
    <t>Quanto em 20 Anos?</t>
  </si>
  <si>
    <t>Quanto em 5 Anos?</t>
  </si>
  <si>
    <t>Quanto em 30 Anos?</t>
  </si>
  <si>
    <t>CENÁRIOS</t>
  </si>
  <si>
    <t>Dividendos</t>
  </si>
  <si>
    <t xml:space="preserve">Salário </t>
  </si>
  <si>
    <t>Rendimento Carteira</t>
  </si>
  <si>
    <t>Sugestão de Investimento</t>
  </si>
  <si>
    <t>CONFIGURAÇÕES</t>
  </si>
  <si>
    <t>PERFIL</t>
  </si>
  <si>
    <t>Agressivo</t>
  </si>
  <si>
    <t>Conservador</t>
  </si>
  <si>
    <t>VALOR INVESTIDO POR MÊS</t>
  </si>
  <si>
    <t>Moderado</t>
  </si>
  <si>
    <t>TIPO DE FIIS</t>
  </si>
  <si>
    <t>Percentual Sugerido</t>
  </si>
  <si>
    <t>Valores</t>
  </si>
  <si>
    <t>PAPEL</t>
  </si>
  <si>
    <t>TIJOLO</t>
  </si>
  <si>
    <t>HÍBRIDOS</t>
  </si>
  <si>
    <t>FOFs</t>
  </si>
  <si>
    <t>DESENVOLVIMENTO</t>
  </si>
  <si>
    <t>HOTELARIAS</t>
  </si>
  <si>
    <t>TIPO DE FII</t>
  </si>
  <si>
    <t>%</t>
  </si>
  <si>
    <t>CHAVE</t>
  </si>
  <si>
    <t>Moderado-TIJOLO</t>
  </si>
</sst>
</file>

<file path=xl/styles.xml><?xml version="1.0" encoding="utf-8"?>
<styleSheet xmlns="http://schemas.openxmlformats.org/spreadsheetml/2006/main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R$&quot;\ #,##0.00"/>
  </numFmts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theme="1"/>
      <name val="Aptos narrow"/>
    </font>
    <font>
      <b/>
      <sz val="11"/>
      <color theme="1"/>
      <name val="Aptos narrow"/>
    </font>
    <font>
      <b/>
      <sz val="18"/>
      <color theme="0"/>
      <name val="Calibri"/>
      <family val="2"/>
      <scheme val="minor"/>
    </font>
    <font>
      <b/>
      <sz val="11"/>
      <color rgb="FF9C65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8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EB9C"/>
      </patternFill>
    </fill>
    <fill>
      <patternFill patternType="solid">
        <fgColor rgb="FFFFCC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medium">
        <color indexed="64"/>
      </right>
      <top/>
      <bottom style="thin">
        <color theme="0" tint="-0.14996795556505021"/>
      </bottom>
      <diagonal/>
    </border>
    <border>
      <left style="medium">
        <color indexed="64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medium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 style="medium">
        <color indexed="64"/>
      </left>
      <right style="thin">
        <color theme="0" tint="-0.14996795556505021"/>
      </right>
      <top style="thin">
        <color theme="0" tint="-0.14996795556505021"/>
      </top>
      <bottom style="medium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medium">
        <color indexed="64"/>
      </bottom>
      <diagonal/>
    </border>
    <border>
      <left style="thin">
        <color theme="0" tint="-0.14996795556505021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theme="0" tint="-0.14996795556505021"/>
      </left>
      <right style="medium">
        <color indexed="64"/>
      </right>
      <top style="hair">
        <color theme="0" tint="-0.24994659260841701"/>
      </top>
      <bottom style="thin">
        <color theme="0" tint="-0.14996795556505021"/>
      </bottom>
      <diagonal/>
    </border>
    <border>
      <left/>
      <right/>
      <top/>
      <bottom style="medium">
        <color indexed="64"/>
      </bottom>
      <diagonal/>
    </border>
  </borders>
  <cellStyleXfs count="4">
    <xf numFmtId="0" fontId="0" fillId="0" borderId="0"/>
    <xf numFmtId="4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5" fillId="4" borderId="0" applyNumberFormat="0" applyBorder="0" applyAlignment="0" applyProtection="0"/>
  </cellStyleXfs>
  <cellXfs count="58">
    <xf numFmtId="0" fontId="0" fillId="0" borderId="0" xfId="0"/>
    <xf numFmtId="0" fontId="0" fillId="0" borderId="0" xfId="0" applyBorder="1"/>
    <xf numFmtId="0" fontId="2" fillId="0" borderId="0" xfId="0" applyFont="1"/>
    <xf numFmtId="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8" fillId="2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8" fillId="5" borderId="3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vertical="center"/>
    </xf>
    <xf numFmtId="0" fontId="6" fillId="0" borderId="5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164" fontId="1" fillId="0" borderId="7" xfId="0" applyNumberFormat="1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10" fontId="1" fillId="0" borderId="10" xfId="0" applyNumberFormat="1" applyFont="1" applyBorder="1" applyAlignment="1">
      <alignment horizontal="center"/>
    </xf>
    <xf numFmtId="0" fontId="8" fillId="2" borderId="14" xfId="0" applyFont="1" applyFill="1" applyBorder="1" applyAlignment="1">
      <alignment horizontal="center" vertical="center"/>
    </xf>
    <xf numFmtId="0" fontId="6" fillId="6" borderId="5" xfId="0" applyFont="1" applyFill="1" applyBorder="1" applyAlignment="1">
      <alignment horizontal="center"/>
    </xf>
    <xf numFmtId="0" fontId="6" fillId="6" borderId="6" xfId="0" applyFont="1" applyFill="1" applyBorder="1" applyAlignment="1">
      <alignment horizontal="center"/>
    </xf>
    <xf numFmtId="164" fontId="0" fillId="0" borderId="15" xfId="1" applyNumberFormat="1" applyFont="1" applyBorder="1" applyAlignment="1">
      <alignment horizontal="center"/>
    </xf>
    <xf numFmtId="0" fontId="6" fillId="6" borderId="8" xfId="0" applyFont="1" applyFill="1" applyBorder="1" applyAlignment="1">
      <alignment horizontal="center"/>
    </xf>
    <xf numFmtId="0" fontId="6" fillId="6" borderId="9" xfId="0" applyFont="1" applyFill="1" applyBorder="1" applyAlignment="1">
      <alignment horizontal="center"/>
    </xf>
    <xf numFmtId="10" fontId="0" fillId="0" borderId="10" xfId="0" applyNumberFormat="1" applyBorder="1" applyAlignment="1">
      <alignment horizontal="center"/>
    </xf>
    <xf numFmtId="0" fontId="6" fillId="6" borderId="11" xfId="0" applyFont="1" applyFill="1" applyBorder="1" applyAlignment="1">
      <alignment horizontal="center"/>
    </xf>
    <xf numFmtId="0" fontId="6" fillId="6" borderId="12" xfId="0" applyFont="1" applyFill="1" applyBorder="1" applyAlignment="1">
      <alignment horizontal="center"/>
    </xf>
    <xf numFmtId="164" fontId="0" fillId="0" borderId="13" xfId="1" applyNumberFormat="1" applyFont="1" applyBorder="1" applyAlignment="1">
      <alignment horizontal="center"/>
    </xf>
    <xf numFmtId="0" fontId="6" fillId="7" borderId="5" xfId="0" applyFont="1" applyFill="1" applyBorder="1"/>
    <xf numFmtId="164" fontId="0" fillId="7" borderId="6" xfId="0" applyNumberFormat="1" applyFill="1" applyBorder="1" applyAlignment="1">
      <alignment horizontal="center"/>
    </xf>
    <xf numFmtId="164" fontId="0" fillId="7" borderId="7" xfId="0" applyNumberFormat="1" applyFill="1" applyBorder="1" applyAlignment="1">
      <alignment horizontal="center"/>
    </xf>
    <xf numFmtId="0" fontId="6" fillId="7" borderId="8" xfId="0" applyFont="1" applyFill="1" applyBorder="1"/>
    <xf numFmtId="164" fontId="0" fillId="7" borderId="9" xfId="0" applyNumberFormat="1" applyFill="1" applyBorder="1" applyAlignment="1">
      <alignment horizontal="center"/>
    </xf>
    <xf numFmtId="164" fontId="0" fillId="7" borderId="10" xfId="0" applyNumberFormat="1" applyFill="1" applyBorder="1" applyAlignment="1">
      <alignment horizontal="center"/>
    </xf>
    <xf numFmtId="0" fontId="6" fillId="7" borderId="11" xfId="0" applyFont="1" applyFill="1" applyBorder="1"/>
    <xf numFmtId="164" fontId="0" fillId="7" borderId="12" xfId="0" applyNumberFormat="1" applyFill="1" applyBorder="1" applyAlignment="1">
      <alignment horizontal="center"/>
    </xf>
    <xf numFmtId="164" fontId="0" fillId="7" borderId="13" xfId="0" applyNumberFormat="1" applyFill="1" applyBorder="1" applyAlignment="1">
      <alignment horizontal="center"/>
    </xf>
    <xf numFmtId="0" fontId="7" fillId="7" borderId="8" xfId="0" applyFont="1" applyFill="1" applyBorder="1" applyAlignment="1">
      <alignment horizontal="center"/>
    </xf>
    <xf numFmtId="0" fontId="7" fillId="7" borderId="9" xfId="0" applyFont="1" applyFill="1" applyBorder="1" applyAlignment="1">
      <alignment horizontal="center"/>
    </xf>
    <xf numFmtId="8" fontId="1" fillId="7" borderId="10" xfId="0" applyNumberFormat="1" applyFont="1" applyFill="1" applyBorder="1" applyAlignment="1">
      <alignment horizontal="center"/>
    </xf>
    <xf numFmtId="0" fontId="7" fillId="7" borderId="11" xfId="0" applyFont="1" applyFill="1" applyBorder="1" applyAlignment="1">
      <alignment horizontal="center"/>
    </xf>
    <xf numFmtId="0" fontId="7" fillId="7" borderId="12" xfId="0" applyFont="1" applyFill="1" applyBorder="1" applyAlignment="1">
      <alignment horizontal="center"/>
    </xf>
    <xf numFmtId="8" fontId="1" fillId="7" borderId="13" xfId="0" applyNumberFormat="1" applyFont="1" applyFill="1" applyBorder="1" applyAlignment="1">
      <alignment horizontal="center"/>
    </xf>
    <xf numFmtId="0" fontId="5" fillId="4" borderId="0" xfId="3"/>
    <xf numFmtId="164" fontId="0" fillId="6" borderId="0" xfId="0" applyNumberFormat="1" applyFill="1" applyAlignment="1">
      <alignment horizontal="center"/>
    </xf>
    <xf numFmtId="0" fontId="0" fillId="3" borderId="0" xfId="0" applyFill="1"/>
    <xf numFmtId="164" fontId="1" fillId="3" borderId="0" xfId="0" applyNumberFormat="1" applyFont="1" applyFill="1" applyAlignment="1">
      <alignment horizontal="center"/>
    </xf>
    <xf numFmtId="0" fontId="1" fillId="3" borderId="0" xfId="0" applyFont="1" applyFill="1"/>
    <xf numFmtId="0" fontId="9" fillId="4" borderId="0" xfId="3" applyFont="1"/>
    <xf numFmtId="0" fontId="9" fillId="4" borderId="0" xfId="3" applyFont="1" applyAlignment="1">
      <alignment horizontal="center"/>
    </xf>
    <xf numFmtId="0" fontId="1" fillId="8" borderId="0" xfId="0" applyFont="1" applyFill="1" applyAlignment="1">
      <alignment horizontal="center"/>
    </xf>
    <xf numFmtId="0" fontId="1" fillId="8" borderId="0" xfId="0" applyFont="1" applyFill="1"/>
    <xf numFmtId="0" fontId="0" fillId="0" borderId="16" xfId="0" applyBorder="1"/>
    <xf numFmtId="0" fontId="0" fillId="0" borderId="16" xfId="0" applyBorder="1" applyAlignment="1">
      <alignment horizontal="center"/>
    </xf>
    <xf numFmtId="9" fontId="0" fillId="0" borderId="16" xfId="0" applyNumberFormat="1" applyBorder="1" applyAlignment="1">
      <alignment horizontal="center"/>
    </xf>
    <xf numFmtId="9" fontId="5" fillId="4" borderId="0" xfId="2" applyFont="1" applyFill="1"/>
    <xf numFmtId="164" fontId="1" fillId="8" borderId="0" xfId="0" applyNumberFormat="1" applyFont="1" applyFill="1" applyAlignment="1">
      <alignment horizontal="center"/>
    </xf>
  </cellXfs>
  <cellStyles count="4">
    <cellStyle name="Moeda" xfId="1" builtinId="4"/>
    <cellStyle name="Neutra" xfId="3" builtinId="28"/>
    <cellStyle name="Normal" xfId="0" builtinId="0"/>
    <cellStyle name="Porcentagem" xfId="2" builtinId="5"/>
  </cellStyles>
  <dxfs count="0"/>
  <tableStyles count="0" defaultTableStyle="TableStyleMedium9" defaultPivotStyle="PivotStyleLight16"/>
  <colors>
    <mruColors>
      <color rgb="FF008000"/>
      <color rgb="FFFFCC00"/>
      <color rgb="FFE3E8A2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pt-BR"/>
  <c:chart>
    <c:plotArea>
      <c:layout/>
      <c:pieChart>
        <c:varyColors val="1"/>
        <c:ser>
          <c:idx val="0"/>
          <c:order val="0"/>
          <c:dPt>
            <c:idx val="1"/>
            <c:explosion val="1"/>
          </c:dPt>
          <c:dLbls>
            <c:showVal val="1"/>
            <c:showLeaderLines val="1"/>
          </c:dLbls>
          <c:cat>
            <c:strRef>
              <c:f>Plan1!$B$36:$B$41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Plan1!$C$36:$C$41</c:f>
              <c:numCache>
                <c:formatCode>0%</c:formatCode>
                <c:ptCount val="6"/>
                <c:pt idx="0">
                  <c:v>0.3</c:v>
                </c:pt>
                <c:pt idx="1">
                  <c:v>0.5</c:v>
                </c:pt>
                <c:pt idx="2">
                  <c:v>0.1</c:v>
                </c:pt>
                <c:pt idx="3">
                  <c:v>0.1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firstSliceAng val="0"/>
      </c:pieChart>
    </c:plotArea>
    <c:legend>
      <c:legendPos val="r"/>
      <c:layout/>
    </c:legend>
    <c:plotVisOnly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190500</xdr:colOff>
      <xdr:row>1</xdr:row>
      <xdr:rowOff>160020</xdr:rowOff>
    </xdr:from>
    <xdr:to>
      <xdr:col>3</xdr:col>
      <xdr:colOff>601980</xdr:colOff>
      <xdr:row>9</xdr:row>
      <xdr:rowOff>15240</xdr:rowOff>
    </xdr:to>
    <xdr:pic>
      <xdr:nvPicPr>
        <xdr:cNvPr id="2" name="image1.png"/>
        <xdr:cNvPicPr preferRelativeResize="0"/>
      </xdr:nvPicPr>
      <xdr:blipFill>
        <a:blip xmlns:r="http://schemas.openxmlformats.org/officeDocument/2006/relationships" r:embed="rId1" cstate="print"/>
        <a:srcRect b="10769"/>
        <a:stretch>
          <a:fillRect/>
        </a:stretch>
      </xdr:blipFill>
      <xdr:spPr>
        <a:xfrm>
          <a:off x="464820" y="342900"/>
          <a:ext cx="4770120" cy="131826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281940</xdr:colOff>
      <xdr:row>43</xdr:row>
      <xdr:rowOff>76200</xdr:rowOff>
    </xdr:from>
    <xdr:to>
      <xdr:col>3</xdr:col>
      <xdr:colOff>495300</xdr:colOff>
      <xdr:row>59</xdr:row>
      <xdr:rowOff>0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0:N42"/>
  <sheetViews>
    <sheetView showRowColHeaders="0" tabSelected="1" workbookViewId="0">
      <selection activeCell="D31" sqref="D31"/>
    </sheetView>
  </sheetViews>
  <sheetFormatPr defaultColWidth="0" defaultRowHeight="14.4"/>
  <cols>
    <col min="1" max="1" width="4" customWidth="1"/>
    <col min="2" max="2" width="46.21875" customWidth="1"/>
    <col min="3" max="3" width="17.33203125" bestFit="1" customWidth="1"/>
    <col min="4" max="4" width="11.6640625" bestFit="1" customWidth="1"/>
    <col min="5" max="5" width="4" customWidth="1"/>
    <col min="6" max="6" width="11.88671875" hidden="1" customWidth="1"/>
    <col min="7" max="8" width="8.88671875" hidden="1" customWidth="1"/>
    <col min="15" max="16384" width="8.88671875" hidden="1"/>
  </cols>
  <sheetData>
    <row r="10" spans="2:4" ht="15" thickBot="1"/>
    <row r="11" spans="2:4" ht="23.4">
      <c r="B11" s="6" t="s">
        <v>16</v>
      </c>
      <c r="C11" s="7"/>
      <c r="D11" s="8"/>
    </row>
    <row r="12" spans="2:4">
      <c r="B12" s="20" t="s">
        <v>13</v>
      </c>
      <c r="C12" s="21"/>
      <c r="D12" s="22">
        <v>5000</v>
      </c>
    </row>
    <row r="13" spans="2:4">
      <c r="B13" s="23" t="s">
        <v>14</v>
      </c>
      <c r="C13" s="24"/>
      <c r="D13" s="25">
        <v>6.0000000000000001E-3</v>
      </c>
    </row>
    <row r="14" spans="2:4" ht="15" thickBot="1">
      <c r="B14" s="26" t="s">
        <v>15</v>
      </c>
      <c r="C14" s="27"/>
      <c r="D14" s="28">
        <f>D12*30%</f>
        <v>1500</v>
      </c>
    </row>
    <row r="15" spans="2:4" ht="13.2" customHeight="1" thickBot="1"/>
    <row r="16" spans="2:4" ht="29.4" customHeight="1">
      <c r="B16" s="5" t="s">
        <v>5</v>
      </c>
      <c r="C16" s="9"/>
      <c r="D16" s="10"/>
    </row>
    <row r="17" spans="1:14">
      <c r="B17" s="12" t="s">
        <v>4</v>
      </c>
      <c r="C17" s="13"/>
      <c r="D17" s="14">
        <v>500</v>
      </c>
    </row>
    <row r="18" spans="1:14">
      <c r="B18" s="15" t="s">
        <v>0</v>
      </c>
      <c r="C18" s="16"/>
      <c r="D18" s="17">
        <v>5</v>
      </c>
    </row>
    <row r="19" spans="1:14">
      <c r="B19" s="15" t="s">
        <v>1</v>
      </c>
      <c r="C19" s="16"/>
      <c r="D19" s="18">
        <v>1.0789999999999999E-2</v>
      </c>
      <c r="N19" s="1"/>
    </row>
    <row r="20" spans="1:14">
      <c r="B20" s="38" t="s">
        <v>2</v>
      </c>
      <c r="C20" s="39"/>
      <c r="D20" s="40">
        <f>FV(taxa_mensal,qtd_anos*12,aporte*-1)</f>
        <v>41888.456999243819</v>
      </c>
    </row>
    <row r="21" spans="1:14" ht="15" thickBot="1">
      <c r="B21" s="41" t="s">
        <v>3</v>
      </c>
      <c r="C21" s="42"/>
      <c r="D21" s="43">
        <f>patrimonio*rendimento_carteira</f>
        <v>251.33074199546292</v>
      </c>
    </row>
    <row r="22" spans="1:14" ht="15" thickBot="1"/>
    <row r="23" spans="1:14" ht="25.8" customHeight="1">
      <c r="B23" s="5" t="s">
        <v>11</v>
      </c>
      <c r="C23" s="19"/>
      <c r="D23" s="11" t="s">
        <v>12</v>
      </c>
    </row>
    <row r="24" spans="1:14">
      <c r="A24" s="2">
        <v>2</v>
      </c>
      <c r="B24" s="29" t="s">
        <v>6</v>
      </c>
      <c r="C24" s="30">
        <f>FV($D$19,$A24*12,$D$17*-1)</f>
        <v>13613.813648822608</v>
      </c>
      <c r="D24" s="31">
        <f>C24*rendimento_carteira</f>
        <v>81.682881892935654</v>
      </c>
    </row>
    <row r="25" spans="1:14">
      <c r="A25" s="2">
        <v>5</v>
      </c>
      <c r="B25" s="32" t="s">
        <v>9</v>
      </c>
      <c r="C25" s="33">
        <f>FV($D$19,$A25*12,$D$17*-1)</f>
        <v>41888.456999243819</v>
      </c>
      <c r="D25" s="34">
        <f>C25*rendimento_carteira</f>
        <v>251.33074199546292</v>
      </c>
    </row>
    <row r="26" spans="1:14">
      <c r="A26" s="2">
        <v>10</v>
      </c>
      <c r="B26" s="32" t="s">
        <v>7</v>
      </c>
      <c r="C26" s="33">
        <f>FV($D$19,$A26*12,$D$17*-1)</f>
        <v>121642.1062650861</v>
      </c>
      <c r="D26" s="34">
        <f>C26*rendimento_carteira</f>
        <v>729.85263759051657</v>
      </c>
    </row>
    <row r="27" spans="1:14">
      <c r="A27" s="2">
        <v>20</v>
      </c>
      <c r="B27" s="32" t="s">
        <v>8</v>
      </c>
      <c r="C27" s="33">
        <f>FV($D$19,$A27*12,$D$17*-1)</f>
        <v>562599.20004854025</v>
      </c>
      <c r="D27" s="34">
        <f>C27*rendimento_carteira</f>
        <v>3375.5952002912418</v>
      </c>
    </row>
    <row r="28" spans="1:14" ht="15" thickBot="1">
      <c r="A28" s="2">
        <v>30</v>
      </c>
      <c r="B28" s="35" t="s">
        <v>10</v>
      </c>
      <c r="C28" s="36">
        <f>FV($D$19,$A28*12,$D$17*-1)</f>
        <v>2161084.8275023573</v>
      </c>
      <c r="D28" s="37">
        <f>C28*rendimento_carteira</f>
        <v>12966.508965014144</v>
      </c>
    </row>
    <row r="32" spans="1:14">
      <c r="B32" s="49" t="s">
        <v>17</v>
      </c>
      <c r="C32" s="50" t="s">
        <v>19</v>
      </c>
      <c r="D32" s="44"/>
    </row>
    <row r="33" spans="2:4">
      <c r="B33" s="48" t="s">
        <v>20</v>
      </c>
      <c r="C33" s="47">
        <f>aporte</f>
        <v>500</v>
      </c>
      <c r="D33" s="46"/>
    </row>
    <row r="35" spans="2:4">
      <c r="B35" s="51" t="s">
        <v>22</v>
      </c>
      <c r="C35" s="51" t="s">
        <v>23</v>
      </c>
      <c r="D35" s="51" t="s">
        <v>24</v>
      </c>
    </row>
    <row r="36" spans="2:4">
      <c r="B36" s="4" t="s">
        <v>25</v>
      </c>
      <c r="C36" s="3">
        <f>VLOOKUP($C$32&amp;"-"&amp;B36,Plan2!$A:$D,4,FALSE)</f>
        <v>0.3</v>
      </c>
      <c r="D36" s="45">
        <f>C36*$C$33</f>
        <v>150</v>
      </c>
    </row>
    <row r="37" spans="2:4">
      <c r="B37" s="4" t="s">
        <v>26</v>
      </c>
      <c r="C37" s="3">
        <f>VLOOKUP($C$32&amp;"-"&amp;B37,Plan2!$A:$D,4,FALSE)</f>
        <v>0.5</v>
      </c>
      <c r="D37" s="45">
        <f t="shared" ref="D37:D41" si="0">C37*$C$33</f>
        <v>250</v>
      </c>
    </row>
    <row r="38" spans="2:4">
      <c r="B38" s="4" t="s">
        <v>27</v>
      </c>
      <c r="C38" s="3">
        <f>VLOOKUP($C$32&amp;"-"&amp;B38,Plan2!$A:$D,4,FALSE)</f>
        <v>0.1</v>
      </c>
      <c r="D38" s="45">
        <f t="shared" si="0"/>
        <v>50</v>
      </c>
    </row>
    <row r="39" spans="2:4">
      <c r="B39" s="4" t="s">
        <v>28</v>
      </c>
      <c r="C39" s="3">
        <f>VLOOKUP($C$32&amp;"-"&amp;B39,Plan2!$A:$D,4,FALSE)</f>
        <v>0.1</v>
      </c>
      <c r="D39" s="45">
        <f t="shared" si="0"/>
        <v>50</v>
      </c>
    </row>
    <row r="40" spans="2:4">
      <c r="B40" s="4" t="s">
        <v>29</v>
      </c>
      <c r="C40" s="3">
        <f>VLOOKUP($C$32&amp;"-"&amp;B40,Plan2!$A:$D,4,FALSE)</f>
        <v>0</v>
      </c>
      <c r="D40" s="45">
        <f t="shared" si="0"/>
        <v>0</v>
      </c>
    </row>
    <row r="41" spans="2:4">
      <c r="B41" s="4" t="s">
        <v>30</v>
      </c>
      <c r="C41" s="3">
        <f>VLOOKUP($C$32&amp;"-"&amp;B41,Plan2!$A:$D,4,FALSE)</f>
        <v>0</v>
      </c>
      <c r="D41" s="45">
        <f t="shared" si="0"/>
        <v>0</v>
      </c>
    </row>
    <row r="42" spans="2:4">
      <c r="B42" s="52"/>
      <c r="C42" s="52"/>
      <c r="D42" s="57">
        <f>SUM(D36:D41)</f>
        <v>500</v>
      </c>
    </row>
  </sheetData>
  <mergeCells count="11">
    <mergeCell ref="B23:C23"/>
    <mergeCell ref="B20:C20"/>
    <mergeCell ref="B21:C21"/>
    <mergeCell ref="B12:C12"/>
    <mergeCell ref="B13:C13"/>
    <mergeCell ref="B14:C14"/>
    <mergeCell ref="B16:D16"/>
    <mergeCell ref="B18:C18"/>
    <mergeCell ref="B17:C17"/>
    <mergeCell ref="B19:C19"/>
    <mergeCell ref="B11:D11"/>
  </mergeCells>
  <dataValidations count="1">
    <dataValidation type="list" allowBlank="1" showInputMessage="1" showErrorMessage="1" sqref="C32">
      <formula1>"Conservador,Moderado,Agressivo"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2:H20"/>
  <sheetViews>
    <sheetView workbookViewId="0">
      <selection activeCell="C20" sqref="C20"/>
    </sheetView>
  </sheetViews>
  <sheetFormatPr defaultRowHeight="14.4"/>
  <cols>
    <col min="1" max="1" width="29.21875" bestFit="1" customWidth="1"/>
    <col min="2" max="2" width="11.33203125" bestFit="1" customWidth="1"/>
    <col min="3" max="3" width="18" bestFit="1" customWidth="1"/>
    <col min="7" max="7" width="16.109375" bestFit="1" customWidth="1"/>
  </cols>
  <sheetData>
    <row r="2" spans="1:8">
      <c r="A2" t="s">
        <v>33</v>
      </c>
      <c r="B2" s="4" t="s">
        <v>17</v>
      </c>
      <c r="C2" s="4" t="s">
        <v>31</v>
      </c>
      <c r="D2" t="s">
        <v>32</v>
      </c>
    </row>
    <row r="3" spans="1:8">
      <c r="A3" t="str">
        <f>B3&amp;"-"&amp;C3</f>
        <v>Conservador-PAPEL</v>
      </c>
      <c r="B3" t="s">
        <v>19</v>
      </c>
      <c r="C3" s="4" t="s">
        <v>25</v>
      </c>
      <c r="D3" s="3">
        <v>0.3</v>
      </c>
      <c r="H3" t="s">
        <v>32</v>
      </c>
    </row>
    <row r="4" spans="1:8">
      <c r="A4" t="str">
        <f t="shared" ref="A4:A20" si="0">B4&amp;"-"&amp;C4</f>
        <v>Conservador-TIJOLO</v>
      </c>
      <c r="B4" t="s">
        <v>19</v>
      </c>
      <c r="C4" s="4" t="s">
        <v>26</v>
      </c>
      <c r="D4" s="3">
        <v>0.5</v>
      </c>
      <c r="G4" s="44" t="s">
        <v>34</v>
      </c>
      <c r="H4" s="56">
        <f>VLOOKUP(G4,$A:$D,4,FALSE)</f>
        <v>0.35</v>
      </c>
    </row>
    <row r="5" spans="1:8">
      <c r="A5" t="str">
        <f t="shared" si="0"/>
        <v>Conservador-HÍBRIDOS</v>
      </c>
      <c r="B5" t="s">
        <v>19</v>
      </c>
      <c r="C5" s="4" t="s">
        <v>27</v>
      </c>
      <c r="D5" s="3">
        <v>0.1</v>
      </c>
    </row>
    <row r="6" spans="1:8">
      <c r="A6" t="str">
        <f t="shared" si="0"/>
        <v>Conservador-FOFs</v>
      </c>
      <c r="B6" t="s">
        <v>19</v>
      </c>
      <c r="C6" s="4" t="s">
        <v>28</v>
      </c>
      <c r="D6" s="3">
        <v>0.1</v>
      </c>
    </row>
    <row r="7" spans="1:8">
      <c r="A7" t="str">
        <f t="shared" si="0"/>
        <v>Conservador-DESENVOLVIMENTO</v>
      </c>
      <c r="B7" t="s">
        <v>19</v>
      </c>
      <c r="C7" s="4" t="s">
        <v>29</v>
      </c>
      <c r="D7" s="3">
        <v>0</v>
      </c>
    </row>
    <row r="8" spans="1:8" ht="15" thickBot="1">
      <c r="A8" s="53" t="str">
        <f t="shared" si="0"/>
        <v>Conservador-HOTELARIAS</v>
      </c>
      <c r="B8" s="53" t="s">
        <v>19</v>
      </c>
      <c r="C8" s="54" t="s">
        <v>30</v>
      </c>
      <c r="D8" s="55">
        <v>0</v>
      </c>
    </row>
    <row r="9" spans="1:8">
      <c r="A9" t="str">
        <f t="shared" si="0"/>
        <v>Moderado-PAPEL</v>
      </c>
      <c r="B9" t="s">
        <v>21</v>
      </c>
      <c r="C9" s="4" t="s">
        <v>25</v>
      </c>
      <c r="D9" s="3">
        <v>0.32</v>
      </c>
    </row>
    <row r="10" spans="1:8">
      <c r="A10" t="str">
        <f t="shared" si="0"/>
        <v>Moderado-TIJOLO</v>
      </c>
      <c r="B10" t="s">
        <v>21</v>
      </c>
      <c r="C10" s="4" t="s">
        <v>26</v>
      </c>
      <c r="D10" s="3">
        <v>0.35</v>
      </c>
    </row>
    <row r="11" spans="1:8">
      <c r="A11" t="str">
        <f t="shared" si="0"/>
        <v>Moderado-HÍBRIDOS</v>
      </c>
      <c r="B11" t="s">
        <v>21</v>
      </c>
      <c r="C11" s="4" t="s">
        <v>27</v>
      </c>
      <c r="D11" s="3">
        <v>0.08</v>
      </c>
    </row>
    <row r="12" spans="1:8">
      <c r="A12" t="str">
        <f t="shared" si="0"/>
        <v>Moderado-FOFs</v>
      </c>
      <c r="B12" t="s">
        <v>21</v>
      </c>
      <c r="C12" s="4" t="s">
        <v>28</v>
      </c>
      <c r="D12" s="3">
        <v>0.05</v>
      </c>
    </row>
    <row r="13" spans="1:8">
      <c r="A13" t="str">
        <f t="shared" si="0"/>
        <v>Moderado-DESENVOLVIMENTO</v>
      </c>
      <c r="B13" t="s">
        <v>21</v>
      </c>
      <c r="C13" s="4" t="s">
        <v>29</v>
      </c>
      <c r="D13" s="3">
        <v>0.1</v>
      </c>
    </row>
    <row r="14" spans="1:8" ht="15" thickBot="1">
      <c r="A14" s="53" t="str">
        <f t="shared" si="0"/>
        <v>Moderado-HOTELARIAS</v>
      </c>
      <c r="B14" s="53" t="s">
        <v>21</v>
      </c>
      <c r="C14" s="54" t="s">
        <v>30</v>
      </c>
      <c r="D14" s="55">
        <v>0.1</v>
      </c>
    </row>
    <row r="15" spans="1:8">
      <c r="A15" t="str">
        <f t="shared" si="0"/>
        <v>Agressivo-PAPEL</v>
      </c>
      <c r="B15" t="s">
        <v>18</v>
      </c>
      <c r="C15" s="4" t="s">
        <v>25</v>
      </c>
      <c r="D15" s="3">
        <v>0.5</v>
      </c>
    </row>
    <row r="16" spans="1:8">
      <c r="A16" t="str">
        <f t="shared" si="0"/>
        <v>Agressivo-TIJOLO</v>
      </c>
      <c r="B16" t="s">
        <v>18</v>
      </c>
      <c r="C16" s="4" t="s">
        <v>26</v>
      </c>
      <c r="D16" s="3">
        <v>0.1</v>
      </c>
    </row>
    <row r="17" spans="1:4">
      <c r="A17" t="str">
        <f t="shared" si="0"/>
        <v>Agressivo-HÍBRIDOS</v>
      </c>
      <c r="B17" t="s">
        <v>18</v>
      </c>
      <c r="C17" s="4" t="s">
        <v>27</v>
      </c>
      <c r="D17" s="3">
        <v>0.05</v>
      </c>
    </row>
    <row r="18" spans="1:4">
      <c r="A18" t="str">
        <f t="shared" si="0"/>
        <v>Agressivo-FOFs</v>
      </c>
      <c r="B18" t="s">
        <v>18</v>
      </c>
      <c r="C18" s="4" t="s">
        <v>28</v>
      </c>
      <c r="D18" s="3">
        <v>0.05</v>
      </c>
    </row>
    <row r="19" spans="1:4">
      <c r="A19" t="str">
        <f t="shared" si="0"/>
        <v>Agressivo-DESENVOLVIMENTO</v>
      </c>
      <c r="B19" t="s">
        <v>18</v>
      </c>
      <c r="C19" s="4" t="s">
        <v>29</v>
      </c>
      <c r="D19" s="3">
        <v>0.2</v>
      </c>
    </row>
    <row r="20" spans="1:4">
      <c r="A20" t="str">
        <f>B20&amp;"-"&amp;C20</f>
        <v>Agressivo-HOTELARIAS</v>
      </c>
      <c r="B20" t="s">
        <v>18</v>
      </c>
      <c r="C20" s="4" t="s">
        <v>30</v>
      </c>
      <c r="D20" s="3">
        <v>0.1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7</vt:i4>
      </vt:variant>
    </vt:vector>
  </HeadingPairs>
  <TitlesOfParts>
    <vt:vector size="9" baseType="lpstr">
      <vt:lpstr>Plan1</vt:lpstr>
      <vt:lpstr>Plan2</vt:lpstr>
      <vt:lpstr>aporte</vt:lpstr>
      <vt:lpstr>patrimonio</vt:lpstr>
      <vt:lpstr>qtd_anos</vt:lpstr>
      <vt:lpstr>rendimento_carteira</vt:lpstr>
      <vt:lpstr>salario</vt:lpstr>
      <vt:lpstr>sugestao_investimento</vt:lpstr>
      <vt:lpstr>taxa_mensal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Flávia Soares</dc:creator>
  <cp:lastModifiedBy>Flávia Soares</cp:lastModifiedBy>
  <dcterms:created xsi:type="dcterms:W3CDTF">2026-01-06T15:58:00Z</dcterms:created>
  <dcterms:modified xsi:type="dcterms:W3CDTF">2026-02-02T16:19:58Z</dcterms:modified>
</cp:coreProperties>
</file>